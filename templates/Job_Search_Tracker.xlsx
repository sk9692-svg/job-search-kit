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Job Leads" sheetId="3" state="visible" r:id="rId3"/>
    <sheet xmlns:r="http://schemas.openxmlformats.org/officeDocument/2006/relationships" name="Applications" sheetId="4" state="visible" r:id="rId4"/>
    <sheet xmlns:r="http://schemas.openxmlformats.org/officeDocument/2006/relationships" name="Reviewed - Not Applied" sheetId="5" state="visible" r:id="rId5"/>
    <sheet xmlns:r="http://schemas.openxmlformats.org/officeDocument/2006/relationships" name="Seen - Not Added" sheetId="6" state="visible" r:id="rId6"/>
    <sheet xmlns:r="http://schemas.openxmlformats.org/officeDocument/2006/relationships" name="Watchlist" sheetId="7" state="visible" r:id="rId7"/>
    <sheet xmlns:r="http://schemas.openxmlformats.org/officeDocument/2006/relationships" name="Markets" sheetId="8" state="visible" r:id="rId8"/>
    <sheet xmlns:r="http://schemas.openxmlformats.org/officeDocument/2006/relationships" name="Agent Learnings" sheetId="9" state="visible" r:id="rId9"/>
    <sheet xmlns:r="http://schemas.openxmlformats.org/officeDocument/2006/relationships" name="Agent Runs" sheetId="10" state="visible" r:id="rId10"/>
    <sheet xmlns:r="http://schemas.openxmlformats.org/officeDocument/2006/relationships" name="Sett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Job Search Tracker</t>
        </is>
      </c>
    </row>
    <row r="2">
      <c r="A2" s="2" t="inlineStr">
        <is>
          <t>1. Upload this file to Google Drive, open it, and choose File → Save as Google Sheets. Keep the name 'Job Search Tracker' (the skills look for it).</t>
        </is>
      </c>
    </row>
    <row r="3">
      <c r="A3" s="2" t="inlineStr">
        <is>
          <t>2. Fill in the Settings tab: links to your Candidate Profile doc, resume doc (plain text Google Doc) and a cover-letter folder.</t>
        </is>
      </c>
    </row>
    <row r="4">
      <c r="A4" s="2" t="inlineStr">
        <is>
          <t>3. Add one row per target country in the Markets tab (see examples/markets in the kit).</t>
        </is>
      </c>
    </row>
    <row r="5">
      <c r="A5" s="2" t="inlineStr">
        <is>
          <t>4. Optional: add employers you like to Watchlist (priority A = scan every run, B = rotate, X = never).</t>
        </is>
      </c>
    </row>
    <row r="6">
      <c r="A6" s="2" t="inlineStr">
        <is>
          <t>5. Don't rename tabs or reorder columns – the skills write to them by position.</t>
        </is>
      </c>
    </row>
    <row r="7">
      <c r="A7" s="2" t="inlineStr">
        <is>
          <t>Your columns: in Job Leads set Lead Status (P) and Your Skip Reason (V). The agents learn from those.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t="inlineStr">
        <is>
          <t>Leads – New</t>
        </is>
      </c>
      <c r="B2">
        <f>COUNTIF('Job Leads'!P:P,"New")</f>
        <v/>
      </c>
    </row>
    <row r="3">
      <c r="A3" t="inlineStr">
        <is>
          <t>Leads – Shortlisted</t>
        </is>
      </c>
      <c r="B3">
        <f>COUNTIF('Job Leads'!P:P,"Shortlisted")</f>
        <v/>
      </c>
    </row>
    <row r="4">
      <c r="A4" t="inlineStr">
        <is>
          <t>Leads – Applied</t>
        </is>
      </c>
      <c r="B4">
        <f>COUNTIF('Job Leads'!P:P,"Applied")</f>
        <v/>
      </c>
    </row>
    <row r="5">
      <c r="A5" t="inlineStr">
        <is>
          <t>Leads – Skipped</t>
        </is>
      </c>
      <c r="B5">
        <f>COUNTIF('Job Leads'!P:P,"Skipped")</f>
        <v/>
      </c>
    </row>
    <row r="6">
      <c r="A6" t="inlineStr">
        <is>
          <t>Leads – Expired</t>
        </is>
      </c>
      <c r="B6">
        <f>COUNTIF('Job Leads'!P:P,"Expired")</f>
        <v/>
      </c>
    </row>
    <row r="7">
      <c r="A7" t="inlineStr">
        <is>
          <t>Applications – Applied</t>
        </is>
      </c>
      <c r="B7">
        <f>COUNTIF(Applications!Q:Q,"Applied")</f>
        <v/>
      </c>
    </row>
    <row r="8">
      <c r="A8" t="inlineStr">
        <is>
          <t>Applications – Under Review</t>
        </is>
      </c>
      <c r="B8">
        <f>COUNTIF(Applications!Q:Q,"Under Review")</f>
        <v/>
      </c>
    </row>
    <row r="9">
      <c r="A9" t="inlineStr">
        <is>
          <t>Applications – Interview</t>
        </is>
      </c>
      <c r="B9">
        <f>COUNTIF(Applications!Q:Q,"Interview")</f>
        <v/>
      </c>
    </row>
    <row r="10">
      <c r="A10" t="inlineStr">
        <is>
          <t>Applications – Offer</t>
        </is>
      </c>
      <c r="B10">
        <f>COUNTIF(Applications!Q:Q,"Offer")</f>
        <v/>
      </c>
    </row>
    <row r="11">
      <c r="A11" t="inlineStr">
        <is>
          <t>Applications – Rejected</t>
        </is>
      </c>
      <c r="B11">
        <f>COUNTIF(Applications!Q:Q,"Rejected")</f>
        <v/>
      </c>
    </row>
    <row r="12">
      <c r="A12" t="inlineStr">
        <is>
          <t>Applications – Withdrawn</t>
        </is>
      </c>
      <c r="B12">
        <f>COUNTIF(Applications!Q:Q,"Withdrawn")</f>
        <v/>
      </c>
    </row>
    <row r="13">
      <c r="A13" t="inlineStr">
        <is>
          <t>Applications – No Response</t>
        </is>
      </c>
      <c r="B13">
        <f>COUNTIF(Applications!Q:Q,"No Response")</f>
        <v/>
      </c>
    </row>
    <row r="14">
      <c r="A14" t="inlineStr">
        <is>
          <t>Applications – Total</t>
        </is>
      </c>
      <c r="B14">
        <f>COUNTA(Applications!D:D)-1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7" customWidth="1" min="9" max="9"/>
    <col width="9" customWidth="1" min="10" max="10"/>
    <col width="40" customWidth="1" min="11" max="11"/>
    <col width="40" customWidth="1" min="12" max="12"/>
    <col width="30" customWidth="1" min="13" max="13"/>
    <col width="35" customWidth="1" min="14" max="14"/>
    <col width="12" customWidth="1" min="15" max="15"/>
    <col width="15" customWidth="1" min="16" max="16"/>
    <col width="18" customWidth="1" min="17" max="17"/>
    <col width="30" customWidth="1" min="18" max="18"/>
    <col width="12" customWidth="1" min="19" max="19"/>
    <col width="12" customWidth="1" min="20" max="20"/>
    <col width="12" customWidth="1" min="21" max="21"/>
    <col width="20" customWidth="1" min="22" max="22"/>
    <col width="22" customWidth="1" min="23" max="23"/>
    <col width="40" customWidth="1" min="24" max="24"/>
  </cols>
  <sheetData>
    <row r="1">
      <c r="A1" s="3" t="inlineStr">
        <is>
          <t>#</t>
        </is>
      </c>
      <c r="B1" s="3" t="inlineStr">
        <is>
          <t>Date Found</t>
        </is>
      </c>
      <c r="C1" s="3" t="inlineStr">
        <is>
          <t>Country</t>
        </is>
      </c>
      <c r="D1" s="3" t="inlineStr">
        <is>
          <t>Company</t>
        </is>
      </c>
      <c r="E1" s="3" t="inlineStr">
        <is>
          <t>Role</t>
        </is>
      </c>
      <c r="F1" s="3" t="inlineStr">
        <is>
          <t>Location</t>
        </is>
      </c>
      <c r="G1" s="3" t="inlineStr">
        <is>
          <t>Work Mode</t>
        </is>
      </c>
      <c r="H1" s="3" t="inlineStr">
        <is>
          <t>Seniority</t>
        </is>
      </c>
      <c r="I1" s="3" t="inlineStr">
        <is>
          <t>Posted Salary</t>
        </is>
      </c>
      <c r="J1" s="3" t="inlineStr">
        <is>
          <t>Fit Score</t>
        </is>
      </c>
      <c r="K1" s="3" t="inlineStr">
        <is>
          <t>Why It Fits</t>
        </is>
      </c>
      <c r="L1" s="3" t="inlineStr">
        <is>
          <t>Work-Rights Evidence</t>
        </is>
      </c>
      <c r="M1" s="3" t="inlineStr">
        <is>
          <t>Requirements</t>
        </is>
      </c>
      <c r="N1" s="3" t="inlineStr">
        <is>
          <t>Job Link</t>
        </is>
      </c>
      <c r="O1" s="3" t="inlineStr">
        <is>
          <t>Source</t>
        </is>
      </c>
      <c r="P1" s="3" t="inlineStr">
        <is>
          <t>Lead Status</t>
        </is>
      </c>
      <c r="Q1" s="3" t="inlineStr">
        <is>
          <t>Posted/Closing</t>
        </is>
      </c>
      <c r="R1" s="3" t="inlineStr">
        <is>
          <t>Agent Notes</t>
        </is>
      </c>
      <c r="S1" s="3" t="inlineStr">
        <is>
          <t>Matched</t>
        </is>
      </c>
      <c r="T1" s="3" t="inlineStr">
        <is>
          <t>Gaps</t>
        </is>
      </c>
      <c r="U1" s="3" t="inlineStr">
        <is>
          <t>Risks</t>
        </is>
      </c>
      <c r="V1" s="3" t="inlineStr">
        <is>
          <t>Your Skip Reason</t>
        </is>
      </c>
      <c r="W1" s="3" t="inlineStr">
        <is>
          <t>Cover Letter Draft</t>
        </is>
      </c>
      <c r="X1" s="3" t="inlineStr">
        <is>
          <t>LinkedIn Note</t>
        </is>
      </c>
    </row>
  </sheetData>
  <dataValidations count="1">
    <dataValidation sqref="P2:P5000" showDropDown="0" showInputMessage="0" showErrorMessage="0" allowBlank="1" type="list">
      <formula1>"New,Shortlisted,Applied,Skipped,Expired"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7" customWidth="1" min="9" max="9"/>
    <col width="16" customWidth="1" min="10" max="10"/>
    <col width="15" customWidth="1" min="11" max="11"/>
    <col width="35" customWidth="1" min="12" max="12"/>
    <col width="21" customWidth="1" min="13" max="13"/>
    <col width="12" customWidth="1" min="14" max="14"/>
    <col width="19" customWidth="1" min="15" max="15"/>
    <col width="16" customWidth="1" min="16" max="16"/>
    <col width="12" customWidth="1" min="17" max="17"/>
    <col width="18" customWidth="1" min="18" max="18"/>
    <col width="40" customWidth="1" min="19" max="19"/>
  </cols>
  <sheetData>
    <row r="1">
      <c r="A1" s="3" t="inlineStr">
        <is>
          <t>#</t>
        </is>
      </c>
      <c r="B1" s="3" t="inlineStr">
        <is>
          <t>Date Applied</t>
        </is>
      </c>
      <c r="C1" s="3" t="inlineStr">
        <is>
          <t>Country</t>
        </is>
      </c>
      <c r="D1" s="3" t="inlineStr">
        <is>
          <t>Company</t>
        </is>
      </c>
      <c r="E1" s="3" t="inlineStr">
        <is>
          <t>Role</t>
        </is>
      </c>
      <c r="F1" s="3" t="inlineStr">
        <is>
          <t>Location</t>
        </is>
      </c>
      <c r="G1" s="3" t="inlineStr">
        <is>
          <t>Work Mode</t>
        </is>
      </c>
      <c r="H1" s="3" t="inlineStr">
        <is>
          <t>Type</t>
        </is>
      </c>
      <c r="I1" s="3" t="inlineStr">
        <is>
          <t>Posted Salary</t>
        </is>
      </c>
      <c r="J1" s="3" t="inlineStr">
        <is>
          <t>Salary Asked</t>
        </is>
      </c>
      <c r="K1" s="3" t="inlineStr">
        <is>
          <t>Applied Via</t>
        </is>
      </c>
      <c r="L1" s="3" t="inlineStr">
        <is>
          <t>Job Link</t>
        </is>
      </c>
      <c r="M1" s="3" t="inlineStr">
        <is>
          <t>Recruiter/Contact</t>
        </is>
      </c>
      <c r="N1" s="3" t="inlineStr">
        <is>
          <t>Outreach</t>
        </is>
      </c>
      <c r="O1" s="3" t="inlineStr">
        <is>
          <t>Work-Auth Notes</t>
        </is>
      </c>
      <c r="P1" s="3" t="inlineStr">
        <is>
          <t>Cover Letter</t>
        </is>
      </c>
      <c r="Q1" s="3" t="inlineStr">
        <is>
          <t>Status</t>
        </is>
      </c>
      <c r="R1" s="3" t="inlineStr">
        <is>
          <t>Follow-up Date</t>
        </is>
      </c>
      <c r="S1" s="3" t="inlineStr">
        <is>
          <t>Notes</t>
        </is>
      </c>
    </row>
  </sheetData>
  <dataValidations count="1">
    <dataValidation sqref="Q2:Q5000" showDropDown="0" showInputMessage="0" showErrorMessage="0" allowBlank="1" type="list">
      <formula1>"Applied,Under Review,Interview,Offer,Rejected,Withdrawn,No Response"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40" customWidth="1" min="6" max="6"/>
    <col width="35" customWidth="1" min="7" max="7"/>
  </cols>
  <sheetData>
    <row r="1">
      <c r="A1" s="3" t="inlineStr">
        <is>
          <t>Date Reviewed</t>
        </is>
      </c>
      <c r="B1" s="3" t="inlineStr">
        <is>
          <t>Country</t>
        </is>
      </c>
      <c r="C1" s="3" t="inlineStr">
        <is>
          <t>Company</t>
        </is>
      </c>
      <c r="D1" s="3" t="inlineStr">
        <is>
          <t>Role</t>
        </is>
      </c>
      <c r="E1" s="3" t="inlineStr">
        <is>
          <t>Location</t>
        </is>
      </c>
      <c r="F1" s="3" t="inlineStr">
        <is>
          <t>Reason Skipped</t>
        </is>
      </c>
      <c r="G1" s="3" t="inlineStr">
        <is>
          <t>Job 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35" customWidth="1" min="5" max="5"/>
    <col width="40" customWidth="1" min="6" max="6"/>
    <col width="12" customWidth="1" min="7" max="7"/>
  </cols>
  <sheetData>
    <row r="1">
      <c r="A1" s="3" t="inlineStr">
        <is>
          <t>Date Seen</t>
        </is>
      </c>
      <c r="B1" s="3" t="inlineStr">
        <is>
          <t>Country</t>
        </is>
      </c>
      <c r="C1" s="3" t="inlineStr">
        <is>
          <t>Company</t>
        </is>
      </c>
      <c r="D1" s="3" t="inlineStr">
        <is>
          <t>Role</t>
        </is>
      </c>
      <c r="E1" s="3" t="inlineStr">
        <is>
          <t>Job Link</t>
        </is>
      </c>
      <c r="F1" s="3" t="inlineStr">
        <is>
          <t>Reason</t>
        </is>
      </c>
      <c r="G1" s="3" t="inlineStr">
        <is>
          <t>Seen 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0" customWidth="1" min="5" max="5"/>
    <col width="30" customWidth="1" min="6" max="6"/>
    <col width="13" customWidth="1" min="7" max="7"/>
    <col width="35" customWidth="1" min="8" max="8"/>
    <col width="16" customWidth="1" min="9" max="9"/>
    <col width="15" customWidth="1" min="10" max="10"/>
    <col width="35" customWidth="1" min="11" max="11"/>
  </cols>
  <sheetData>
    <row r="1">
      <c r="A1" s="3" t="inlineStr">
        <is>
          <t>country</t>
        </is>
      </c>
      <c r="B1" s="3" t="inlineStr">
        <is>
          <t>company</t>
        </is>
      </c>
      <c r="C1" s="3" t="inlineStr">
        <is>
          <t>priority</t>
        </is>
      </c>
      <c r="D1" s="3" t="inlineStr">
        <is>
          <t>cities</t>
        </is>
      </c>
      <c r="E1" s="3" t="inlineStr">
        <is>
          <t>careers_url</t>
        </is>
      </c>
      <c r="F1" s="3" t="inlineStr">
        <is>
          <t>feed_url</t>
        </is>
      </c>
      <c r="G1" s="3" t="inlineStr">
        <is>
          <t>feed_type</t>
        </is>
      </c>
      <c r="H1" s="3" t="inlineStr">
        <is>
          <t>work_rights_evidence</t>
        </is>
      </c>
      <c r="I1" s="3" t="inlineStr">
        <is>
          <t>last_scanned</t>
        </is>
      </c>
      <c r="J1" s="3" t="inlineStr">
        <is>
          <t>feed_status</t>
        </is>
      </c>
      <c r="K1" s="3" t="inlineStr">
        <is>
          <t>notes</t>
        </is>
      </c>
    </row>
  </sheetData>
  <dataValidations count="1">
    <dataValidation sqref="C2:C2000" showDropDown="0" showInputMessage="0" showErrorMessage="0" allowBlank="1" type="list">
      <formula1>"A,B,X"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35" customWidth="1" min="4" max="4"/>
    <col width="30" customWidth="1" min="5" max="5"/>
    <col width="35" customWidth="1" min="6" max="6"/>
  </cols>
  <sheetData>
    <row r="1">
      <c r="A1" s="3" t="inlineStr">
        <is>
          <t>Country</t>
        </is>
      </c>
      <c r="B1" s="3" t="inlineStr">
        <is>
          <t>Work-rights route</t>
        </is>
      </c>
      <c r="C1" s="3" t="inlineStr">
        <is>
          <t>Job boards</t>
        </is>
      </c>
      <c r="D1" s="3" t="inlineStr">
        <is>
          <t>Search keywords</t>
        </is>
      </c>
      <c r="E1" s="3" t="inlineStr">
        <is>
          <t>Cities</t>
        </is>
      </c>
      <c r="F1" s="3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16" customWidth="1" min="3" max="3"/>
  </cols>
  <sheetData>
    <row r="1">
      <c r="A1" s="3" t="inlineStr">
        <is>
          <t>Country</t>
        </is>
      </c>
      <c r="B1" s="3" t="inlineStr">
        <is>
          <t>Learnings</t>
        </is>
      </c>
      <c r="C1" s="3" t="inlineStr">
        <is>
          <t>Last Updated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  <col width="70" customWidth="1" min="6" max="6"/>
  </cols>
  <sheetData>
    <row r="1">
      <c r="A1" s="3" t="inlineStr">
        <is>
          <t>Date</t>
        </is>
      </c>
      <c r="B1" s="3" t="inlineStr">
        <is>
          <t>Agent</t>
        </is>
      </c>
      <c r="C1" s="3" t="inlineStr">
        <is>
          <t>Count 1</t>
        </is>
      </c>
      <c r="D1" s="3" t="inlineStr">
        <is>
          <t>Count 2</t>
        </is>
      </c>
      <c r="E1" s="3" t="inlineStr">
        <is>
          <t>Summary</t>
        </is>
      </c>
      <c r="F1" s="3" t="inlineStr">
        <is>
          <t>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70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What it is</t>
        </is>
      </c>
    </row>
    <row r="2">
      <c r="A2" t="inlineStr">
        <is>
          <t>profile_doc</t>
        </is>
      </c>
      <c r="B2" t="inlineStr"/>
      <c r="C2" t="inlineStr">
        <is>
          <t>Link to your Candidate Profile Google Doc (from templates/candidate-profile-template.md)</t>
        </is>
      </c>
    </row>
    <row r="3">
      <c r="A3" t="inlineStr">
        <is>
          <t>resume_doc</t>
        </is>
      </c>
      <c r="B3" t="inlineStr"/>
      <c r="C3" t="inlineStr">
        <is>
          <t>Link to a Google Doc with your resume as plain text</t>
        </is>
      </c>
    </row>
    <row r="4">
      <c r="A4" t="inlineStr">
        <is>
          <t>cover_letter_folder</t>
        </is>
      </c>
      <c r="B4" t="inlineStr"/>
      <c r="C4" t="inlineStr">
        <is>
          <t>Link to a Google Drive folder where cover-letter drafts are saved</t>
        </is>
      </c>
    </row>
    <row r="5">
      <c r="A5" t="inlineStr">
        <is>
          <t>timezone</t>
        </is>
      </c>
      <c r="B5" t="inlineStr">
        <is>
          <t>America/Toronto</t>
        </is>
      </c>
      <c r="C5" t="inlineStr">
        <is>
          <t>Your timezone (IANA name), used for dates</t>
        </is>
      </c>
    </row>
    <row r="6">
      <c r="A6" t="inlineStr">
        <is>
          <t>min_fit_score</t>
        </is>
      </c>
      <c r="B6" t="inlineStr">
        <is>
          <t>6</t>
        </is>
      </c>
      <c r="C6" t="inlineStr">
        <is>
          <t>Only add leads with this fit score or higher (1–10)</t>
        </is>
      </c>
    </row>
    <row r="7">
      <c r="A7" t="inlineStr">
        <is>
          <t>cover_letter_min_fit</t>
        </is>
      </c>
      <c r="B7" t="inlineStr">
        <is>
          <t>7</t>
        </is>
      </c>
      <c r="C7" t="inlineStr">
        <is>
          <t>Draft a cover letter for leads at or above this score</t>
        </is>
      </c>
    </row>
    <row r="8">
      <c r="A8" t="inlineStr">
        <is>
          <t>max_new_postings_per_run</t>
        </is>
      </c>
      <c r="B8" t="inlineStr">
        <is>
          <t>25</t>
        </is>
      </c>
      <c r="C8" t="inlineStr">
        <is>
          <t>How many new postings an agent opens per run (lower = cheaper runs)</t>
        </is>
      </c>
    </row>
    <row r="9">
      <c r="A9" t="inlineStr">
        <is>
          <t>use_gmail_alerts</t>
        </is>
      </c>
      <c r="B9" t="inlineStr">
        <is>
          <t>yes</t>
        </is>
      </c>
      <c r="C9" t="inlineStr">
        <is>
          <t>yes = also read LinkedIn/Seek job-alert emails (read-only)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2026-10-14T02:11:52Z</dcterms:created>
  <dcterms:modified xmlns:dcterms="http://purl.org/dc/terms/" xmlns:xsi="http://www.w3.org/2001/XMLSchema-instance" xsi:type="dcterms:W3CDTF">2026-10-14T02:11:52Z</dcterms:modified>
</cp:coreProperties>
</file>